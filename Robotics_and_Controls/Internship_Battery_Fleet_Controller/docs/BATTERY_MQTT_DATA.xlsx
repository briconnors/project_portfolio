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_portfolio\Robotics_and_Controls\Internship_Battery_Fleet_Controller\docs\"/>
    </mc:Choice>
  </mc:AlternateContent>
  <xr:revisionPtr revIDLastSave="0" documentId="8_{C651214E-9347-4E55-8700-A0A69E12BB2F}" xr6:coauthVersionLast="47" xr6:coauthVersionMax="47" xr10:uidLastSave="{00000000-0000-0000-0000-000000000000}"/>
  <bookViews>
    <workbookView xWindow="-96" yWindow="0" windowWidth="11712" windowHeight="12336" xr2:uid="{EE19E03B-1A55-46C9-A786-617F153CE7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2" i="1" l="1"/>
  <c r="F51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46" i="1"/>
  <c r="F59" i="1"/>
  <c r="F60" i="1"/>
  <c r="F61" i="1"/>
  <c r="F62" i="1"/>
  <c r="F63" i="1"/>
  <c r="F64" i="1"/>
  <c r="F46" i="1"/>
  <c r="F47" i="1"/>
  <c r="F48" i="1"/>
  <c r="F49" i="1"/>
  <c r="F50" i="1"/>
  <c r="F53" i="1"/>
  <c r="F54" i="1"/>
  <c r="F55" i="1"/>
  <c r="F56" i="1"/>
  <c r="F57" i="1"/>
  <c r="F58" i="1"/>
  <c r="E41" i="1"/>
  <c r="E42" i="1"/>
  <c r="E43" i="1"/>
  <c r="E44" i="1"/>
  <c r="E45" i="1"/>
  <c r="F41" i="1"/>
  <c r="F42" i="1"/>
  <c r="F43" i="1"/>
  <c r="F44" i="1"/>
  <c r="F45" i="1"/>
  <c r="F39" i="1"/>
  <c r="F40" i="1"/>
  <c r="E39" i="1"/>
  <c r="E40" i="1"/>
  <c r="F38" i="1"/>
  <c r="E38" i="1"/>
  <c r="F16" i="1"/>
  <c r="F36" i="1"/>
  <c r="E37" i="1"/>
  <c r="F10" i="1"/>
  <c r="F11" i="1"/>
  <c r="F12" i="1"/>
  <c r="F13" i="1"/>
  <c r="F14" i="1"/>
  <c r="F15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7" i="1"/>
  <c r="F9" i="1"/>
  <c r="E36" i="1"/>
  <c r="E34" i="1"/>
  <c r="E33" i="1"/>
  <c r="E28" i="1"/>
  <c r="E29" i="1"/>
  <c r="E30" i="1"/>
  <c r="E31" i="1"/>
  <c r="E32" i="1"/>
  <c r="E22" i="1"/>
  <c r="E23" i="1"/>
  <c r="E24" i="1"/>
  <c r="E25" i="1"/>
  <c r="E26" i="1"/>
  <c r="E27" i="1"/>
  <c r="E10" i="1"/>
  <c r="E11" i="1"/>
  <c r="E12" i="1"/>
  <c r="E13" i="1"/>
  <c r="E14" i="1"/>
  <c r="E15" i="1"/>
  <c r="E16" i="1"/>
  <c r="E17" i="1"/>
  <c r="E18" i="1"/>
  <c r="E19" i="1"/>
  <c r="E20" i="1"/>
  <c r="E21" i="1"/>
  <c r="E9" i="1"/>
  <c r="E5" i="1"/>
  <c r="E3" i="1"/>
</calcChain>
</file>

<file path=xl/sharedStrings.xml><?xml version="1.0" encoding="utf-8"?>
<sst xmlns="http://schemas.openxmlformats.org/spreadsheetml/2006/main" count="103" uniqueCount="18">
  <si>
    <t>STATE</t>
  </si>
  <si>
    <t>SIGNAL TIME</t>
  </si>
  <si>
    <t>RESPONSE TIME</t>
  </si>
  <si>
    <t>TOTAL DELAY</t>
  </si>
  <si>
    <t>ON</t>
  </si>
  <si>
    <t>OFF</t>
  </si>
  <si>
    <t>COMMAND</t>
  </si>
  <si>
    <t>REGULAR SWITCHING TEST (~5 min between switches)</t>
  </si>
  <si>
    <t>DELAY</t>
  </si>
  <si>
    <t>RAPID SWITCHING TEST (~0-1 min delay between switches)</t>
  </si>
  <si>
    <t>**mqtt terminal updated</t>
  </si>
  <si>
    <t>KEY:</t>
  </si>
  <si>
    <t>SUCCESSFUL ON</t>
  </si>
  <si>
    <t>SUCCESSFUL OFF</t>
  </si>
  <si>
    <t>NO RESPONSE</t>
  </si>
  <si>
    <t>**pi voltage/wifi signal is good, the mqtt is likely fail point</t>
  </si>
  <si>
    <t>https://tasmota.github.io/docs/Dynamic-Sleep/#dynamic-sleep-cpu-main-loop-target-cpu-power-management</t>
  </si>
  <si>
    <t>** also verified fast switching is very responsive too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</si>
</sst>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rgb="FFCCFFCC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0" fillId="0" borderId="7" xfId="0" applyBorder="1"/>
    <xf numFmtId="20" fontId="0" fillId="0" borderId="8" xfId="0" applyNumberFormat="1" applyBorder="1"/>
    <xf numFmtId="21" fontId="0" fillId="2" borderId="8" xfId="0" applyNumberFormat="1" applyFill="1" applyBorder="1"/>
    <xf numFmtId="21" fontId="0" fillId="3" borderId="8" xfId="0" applyNumberFormat="1" applyFill="1" applyBorder="1"/>
    <xf numFmtId="21" fontId="0" fillId="0" borderId="8" xfId="0" applyNumberFormat="1" applyBorder="1"/>
    <xf numFmtId="0" fontId="0" fillId="0" borderId="8" xfId="0" applyBorder="1"/>
    <xf numFmtId="0" fontId="0" fillId="2" borderId="8" xfId="0" applyFill="1" applyBorder="1"/>
    <xf numFmtId="0" fontId="0" fillId="3" borderId="8" xfId="0" applyFill="1" applyBorder="1"/>
    <xf numFmtId="21" fontId="0" fillId="0" borderId="10" xfId="0" applyNumberFormat="1" applyBorder="1"/>
    <xf numFmtId="21" fontId="0" fillId="2" borderId="10" xfId="0" applyNumberFormat="1" applyFill="1" applyBorder="1"/>
    <xf numFmtId="21" fontId="0" fillId="3" borderId="10" xfId="0" applyNumberFormat="1" applyFill="1" applyBorder="1"/>
    <xf numFmtId="20" fontId="0" fillId="3" borderId="10" xfId="0" applyNumberFormat="1" applyFill="1" applyBorder="1"/>
    <xf numFmtId="0" fontId="0" fillId="0" borderId="11" xfId="0" applyBorder="1"/>
    <xf numFmtId="21" fontId="0" fillId="2" borderId="11" xfId="0" applyNumberFormat="1" applyFill="1" applyBorder="1"/>
    <xf numFmtId="21" fontId="0" fillId="3" borderId="11" xfId="0" applyNumberFormat="1" applyFill="1" applyBorder="1"/>
    <xf numFmtId="20" fontId="0" fillId="0" borderId="11" xfId="0" applyNumberFormat="1" applyBorder="1"/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2" borderId="4" xfId="0" applyFill="1" applyBorder="1"/>
    <xf numFmtId="0" fontId="0" fillId="3" borderId="4" xfId="0" applyFill="1" applyBorder="1"/>
    <xf numFmtId="20" fontId="0" fillId="0" borderId="0" xfId="0" applyNumberFormat="1"/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Rapid Switching (with nulls)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Rapid Switching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Sheet1!$F$9:$F$34</c:f>
              <c:numCache>
                <c:formatCode>h:mm:ss</c:formatCode>
                <c:ptCount val="26"/>
                <c:pt idx="0">
                  <c:v>1.2152777777777873E-3</c:v>
                </c:pt>
                <c:pt idx="1">
                  <c:v>1.0995370370370378E-3</c:v>
                </c:pt>
                <c:pt idx="2">
                  <c:v>6.7129629629629484E-4</c:v>
                </c:pt>
                <c:pt idx="3">
                  <c:v>7.1759259259258912E-4</c:v>
                </c:pt>
                <c:pt idx="4">
                  <c:v>1.1342592592592654E-3</c:v>
                </c:pt>
                <c:pt idx="5">
                  <c:v>8.3333333333332482E-4</c:v>
                </c:pt>
                <c:pt idx="6">
                  <c:v>1.1574074074074125E-3</c:v>
                </c:pt>
                <c:pt idx="7">
                  <c:v>9.2592592592592726E-4</c:v>
                </c:pt>
                <c:pt idx="8">
                  <c:v>6.9444444444444198E-4</c:v>
                </c:pt>
                <c:pt idx="9">
                  <c:v>6.9444444444444198E-4</c:v>
                </c:pt>
                <c:pt idx="10">
                  <c:v>6.9444444444444198E-4</c:v>
                </c:pt>
                <c:pt idx="11">
                  <c:v>4.6296296296297057E-4</c:v>
                </c:pt>
                <c:pt idx="12">
                  <c:v>6.9444444444444198E-4</c:v>
                </c:pt>
                <c:pt idx="13">
                  <c:v>4.6296296296295669E-4</c:v>
                </c:pt>
                <c:pt idx="14">
                  <c:v>3.7037037037036813E-4</c:v>
                </c:pt>
                <c:pt idx="15">
                  <c:v>9.0277777777778012E-4</c:v>
                </c:pt>
                <c:pt idx="16">
                  <c:v>1.9675925925925902E-3</c:v>
                </c:pt>
                <c:pt idx="17">
                  <c:v>4.6296296296297057E-4</c:v>
                </c:pt>
                <c:pt idx="18">
                  <c:v>6.9444444444444198E-4</c:v>
                </c:pt>
                <c:pt idx="19">
                  <c:v>8.1018518518519156E-4</c:v>
                </c:pt>
                <c:pt idx="20">
                  <c:v>2.1990740740740755E-3</c:v>
                </c:pt>
                <c:pt idx="21">
                  <c:v>6.9444444444444198E-4</c:v>
                </c:pt>
                <c:pt idx="22">
                  <c:v>8.6805555555555247E-4</c:v>
                </c:pt>
                <c:pt idx="23">
                  <c:v>5.2083333333333148E-4</c:v>
                </c:pt>
                <c:pt idx="24">
                  <c:v>6.9444444444444198E-4</c:v>
                </c:pt>
                <c:pt idx="25">
                  <c:v>3.4722222222222099E-4</c:v>
                </c:pt>
              </c:numCache>
            </c:numRef>
          </c:xVal>
          <c:yVal>
            <c:numRef>
              <c:f>Sheet1!$E$9:$E$34</c:f>
              <c:numCache>
                <c:formatCode>h:mm:ss</c:formatCode>
                <c:ptCount val="26"/>
                <c:pt idx="0">
                  <c:v>1.1574074074066631E-5</c:v>
                </c:pt>
                <c:pt idx="1">
                  <c:v>1.1574074074066631E-5</c:v>
                </c:pt>
                <c:pt idx="2">
                  <c:v>-6.8148148148148152E-2</c:v>
                </c:pt>
                <c:pt idx="3">
                  <c:v>-6.8865740740740741E-2</c:v>
                </c:pt>
                <c:pt idx="4">
                  <c:v>2.5462962962961855E-4</c:v>
                </c:pt>
                <c:pt idx="5">
                  <c:v>4.6296296296294281E-5</c:v>
                </c:pt>
                <c:pt idx="6">
                  <c:v>-7.1990740740740744E-2</c:v>
                </c:pt>
                <c:pt idx="7">
                  <c:v>1.9675925925925764E-4</c:v>
                </c:pt>
                <c:pt idx="8">
                  <c:v>-7.3611111111111113E-2</c:v>
                </c:pt>
                <c:pt idx="9">
                  <c:v>3.472222222222765E-5</c:v>
                </c:pt>
                <c:pt idx="10">
                  <c:v>2.3148148148147141E-5</c:v>
                </c:pt>
                <c:pt idx="11">
                  <c:v>3.8194444444443476E-4</c:v>
                </c:pt>
                <c:pt idx="12">
                  <c:v>3.4722222222213772E-5</c:v>
                </c:pt>
                <c:pt idx="13">
                  <c:v>3.472222222222765E-5</c:v>
                </c:pt>
                <c:pt idx="14">
                  <c:v>8.1018518518521931E-5</c:v>
                </c:pt>
                <c:pt idx="15">
                  <c:v>-7.7893518518518515E-2</c:v>
                </c:pt>
                <c:pt idx="16">
                  <c:v>2.3148148148161019E-5</c:v>
                </c:pt>
                <c:pt idx="17">
                  <c:v>2.5462962962963243E-4</c:v>
                </c:pt>
                <c:pt idx="18">
                  <c:v>2.5462962962963243E-4</c:v>
                </c:pt>
                <c:pt idx="19">
                  <c:v>-8.1828703703703709E-2</c:v>
                </c:pt>
                <c:pt idx="20">
                  <c:v>2.3148148148147141E-5</c:v>
                </c:pt>
                <c:pt idx="21">
                  <c:v>-8.4722222222222227E-2</c:v>
                </c:pt>
                <c:pt idx="22">
                  <c:v>2.4305555555555192E-4</c:v>
                </c:pt>
                <c:pt idx="23">
                  <c:v>0</c:v>
                </c:pt>
                <c:pt idx="24">
                  <c:v>1.1574074074080509E-5</c:v>
                </c:pt>
                <c:pt idx="25">
                  <c:v>3.7037037037036813E-4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EE-44D3-971E-D95B5D3A1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6070496"/>
        <c:axId val="1736077216"/>
      </c:scatterChart>
      <c:valAx>
        <c:axId val="173607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Signal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36077216"/>
        <c:crosses val="autoZero"/>
        <c:crossBetween val="midCat"/>
      </c:valAx>
      <c:valAx>
        <c:axId val="173607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Response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36070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Rapid Switching (true only)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Rapid Switching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(Sheet1!$F$9:$F$10,Sheet1!$F$13:$F$14,Sheet1!$F$16,Sheet1!$F$18:$F$23,Sheet1!$F$25:$F$27,Sheet1!$F$29,Sheet1!$F$31:$F$34)</c:f>
              <c:numCache>
                <c:formatCode>h:mm:ss</c:formatCode>
                <c:ptCount val="19"/>
                <c:pt idx="0">
                  <c:v>1.2152777777777873E-3</c:v>
                </c:pt>
                <c:pt idx="1">
                  <c:v>1.0995370370370378E-3</c:v>
                </c:pt>
                <c:pt idx="2">
                  <c:v>1.1342592592592654E-3</c:v>
                </c:pt>
                <c:pt idx="3">
                  <c:v>8.3333333333332482E-4</c:v>
                </c:pt>
                <c:pt idx="4">
                  <c:v>9.2592592592592726E-4</c:v>
                </c:pt>
                <c:pt idx="5">
                  <c:v>6.9444444444444198E-4</c:v>
                </c:pt>
                <c:pt idx="6">
                  <c:v>6.9444444444444198E-4</c:v>
                </c:pt>
                <c:pt idx="7">
                  <c:v>4.6296296296297057E-4</c:v>
                </c:pt>
                <c:pt idx="8">
                  <c:v>6.9444444444444198E-4</c:v>
                </c:pt>
                <c:pt idx="9">
                  <c:v>4.6296296296295669E-4</c:v>
                </c:pt>
                <c:pt idx="10">
                  <c:v>3.7037037037036813E-4</c:v>
                </c:pt>
                <c:pt idx="11">
                  <c:v>1.9675925925925902E-3</c:v>
                </c:pt>
                <c:pt idx="12">
                  <c:v>4.6296296296297057E-4</c:v>
                </c:pt>
                <c:pt idx="13">
                  <c:v>6.9444444444444198E-4</c:v>
                </c:pt>
                <c:pt idx="14">
                  <c:v>2.1990740740740755E-3</c:v>
                </c:pt>
                <c:pt idx="15">
                  <c:v>8.6805555555555247E-4</c:v>
                </c:pt>
                <c:pt idx="16">
                  <c:v>5.2083333333333148E-4</c:v>
                </c:pt>
                <c:pt idx="17">
                  <c:v>6.9444444444444198E-4</c:v>
                </c:pt>
                <c:pt idx="18">
                  <c:v>3.4722222222222099E-4</c:v>
                </c:pt>
              </c:numCache>
            </c:numRef>
          </c:xVal>
          <c:yVal>
            <c:numRef>
              <c:f>(Sheet1!$E$9:$E$10,Sheet1!$E$13:$E$14,Sheet1!$E$16,Sheet1!$E$18:$E$23,Sheet1!$E$25:$E$27,Sheet1!$E$29,Sheet1!$E$31:$E$34)</c:f>
              <c:numCache>
                <c:formatCode>h:mm:ss</c:formatCode>
                <c:ptCount val="19"/>
                <c:pt idx="0">
                  <c:v>1.1574074074066631E-5</c:v>
                </c:pt>
                <c:pt idx="1">
                  <c:v>1.1574074074066631E-5</c:v>
                </c:pt>
                <c:pt idx="2">
                  <c:v>2.5462962962961855E-4</c:v>
                </c:pt>
                <c:pt idx="3">
                  <c:v>4.6296296296294281E-5</c:v>
                </c:pt>
                <c:pt idx="4">
                  <c:v>1.9675925925925764E-4</c:v>
                </c:pt>
                <c:pt idx="5">
                  <c:v>3.472222222222765E-5</c:v>
                </c:pt>
                <c:pt idx="6">
                  <c:v>2.3148148148147141E-5</c:v>
                </c:pt>
                <c:pt idx="7">
                  <c:v>3.8194444444443476E-4</c:v>
                </c:pt>
                <c:pt idx="8">
                  <c:v>3.4722222222213772E-5</c:v>
                </c:pt>
                <c:pt idx="9">
                  <c:v>3.472222222222765E-5</c:v>
                </c:pt>
                <c:pt idx="10">
                  <c:v>8.1018518518521931E-5</c:v>
                </c:pt>
                <c:pt idx="11">
                  <c:v>2.3148148148161019E-5</c:v>
                </c:pt>
                <c:pt idx="12">
                  <c:v>2.5462962962963243E-4</c:v>
                </c:pt>
                <c:pt idx="13">
                  <c:v>2.5462962962963243E-4</c:v>
                </c:pt>
                <c:pt idx="14">
                  <c:v>2.3148148148147141E-5</c:v>
                </c:pt>
                <c:pt idx="15">
                  <c:v>2.4305555555555192E-4</c:v>
                </c:pt>
                <c:pt idx="16">
                  <c:v>0</c:v>
                </c:pt>
                <c:pt idx="17">
                  <c:v>1.1574074074080509E-5</c:v>
                </c:pt>
                <c:pt idx="18">
                  <c:v>3.7037037037036813E-4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A7-4A53-A2B7-2CCC20702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6070496"/>
        <c:axId val="1736077216"/>
      </c:scatterChart>
      <c:valAx>
        <c:axId val="173607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Signal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36077216"/>
        <c:crosses val="autoZero"/>
        <c:crossBetween val="midCat"/>
      </c:valAx>
      <c:valAx>
        <c:axId val="173607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Response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36070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288071</xdr:colOff>
      <xdr:row>7</xdr:row>
      <xdr:rowOff>18586</xdr:rowOff>
    </xdr:from>
    <xdr:to>
      <xdr:col>13</xdr:col>
      <xdr:colOff>559594</xdr:colOff>
      <xdr:row>20</xdr:row>
      <xdr:rowOff>65049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FA435-0757-0EC9-4C57-FD9785AD31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286339</xdr:colOff>
      <xdr:row>20</xdr:row>
      <xdr:rowOff>12515</xdr:rowOff>
    </xdr:from>
    <xdr:to>
      <xdr:col>13</xdr:col>
      <xdr:colOff>559595</xdr:colOff>
      <xdr:row>34</xdr:row>
      <xdr:rowOff>139124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60B003-D072-42D8-A3EE-BDF55046D7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1859</xdr:colOff>
      <xdr:row>5</xdr:row>
      <xdr:rowOff>38038</xdr:rowOff>
    </xdr:from>
    <xdr:to>
      <xdr:col>12</xdr:col>
      <xdr:colOff>103487</xdr:colOff>
      <xdr:row>5</xdr:row>
      <xdr:rowOff>167589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16CF16-C3DF-8A35-3CAB-63225BC8D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59" y="952438"/>
          <a:ext cx="9298015" cy="1295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31317</xdr:rowOff>
    </xdr:from>
    <xdr:to>
      <xdr:col>12</xdr:col>
      <xdr:colOff>206252</xdr:colOff>
      <xdr:row>49</xdr:row>
      <xdr:rowOff>146138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034B28-1B96-63DB-40D9-7438B9D9BA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37488" b="20699"/>
        <a:stretch>
          <a:fillRect/>
        </a:stretch>
      </xdr:blipFill>
      <xdr:spPr>
        <a:xfrm>
          <a:off x="0" y="8862166"/>
          <a:ext cx="9373412" cy="302712"/>
        </a:xfrm>
        <a:prstGeom prst="rect">
          <a:avLst/>
        </a:prstGeom>
      </xdr:spPr>
    </xdr:pic>
    <xdr:clientData/>
  </xdr:twoCellAnchor>
  <xdr:twoCellAnchor editAs="oneCell">
    <xdr:from>
      <xdr:col>6</xdr:col>
      <xdr:colOff>49967</xdr:colOff>
      <xdr:row>50</xdr:row>
      <xdr:rowOff>37475</xdr:rowOff>
    </xdr:from>
    <xdr:to>
      <xdr:col>13</xdr:col>
      <xdr:colOff>585455</xdr:colOff>
      <xdr:row>56</xdr:row>
      <xdr:rowOff>109656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C8C8D0-644D-8706-183E-2B4DDB5ED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34197" y="9406327"/>
          <a:ext cx="5357324" cy="1196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C4F6F-5739-4DAD-9261-04356F886E74}">
  <dimension ref="A1:I65"/>
  <sheetViews>
    <sheetView tabSelected="1" topLeftCell="A10" zoomScale="51" workbookViewId="0">
      <selection activeCell="L70" sqref="L70"/>
    </sheetView>
  </sheetViews>
  <sheetFormatPr defaultRowHeight="14.4" x14ac:dyDescent="0.3"/>
  <cols>
    <col min="1" max="1" width="13.88671875" customWidth="1"/>
    <col min="2" max="2" width="10.88671875" customWidth="1"/>
    <col min="3" max="3" width="10.33203125" customWidth="1"/>
    <col min="4" max="4" width="14.21875" customWidth="1"/>
    <col min="5" max="5" width="11.5546875" customWidth="1"/>
    <col min="6" max="6" width="11.88671875" customWidth="1"/>
    <col min="9" max="9" width="16.77734375" customWidth="1"/>
  </cols>
  <sheetData>
    <row r="1" spans="1:9" x14ac:dyDescent="0.3">
      <c r="A1" s="29" t="s">
        <v>1</v>
      </c>
      <c r="B1" s="29" t="s">
        <v>6</v>
      </c>
      <c r="C1" s="29" t="s">
        <v>0</v>
      </c>
      <c r="D1" s="29" t="s">
        <v>2</v>
      </c>
      <c r="E1" s="29" t="s">
        <v>3</v>
      </c>
      <c r="F1" s="29" t="s">
        <v>8</v>
      </c>
      <c r="H1" s="4" t="s">
        <v>11</v>
      </c>
      <c r="I1" s="5"/>
    </row>
    <row r="2" spans="1:9" x14ac:dyDescent="0.3">
      <c r="A2" s="7"/>
      <c r="B2" s="12"/>
      <c r="C2" s="12" t="s">
        <v>4</v>
      </c>
      <c r="D2" s="19"/>
      <c r="E2" s="7"/>
      <c r="F2" s="7"/>
      <c r="H2" s="27"/>
      <c r="I2" s="24" t="s">
        <v>12</v>
      </c>
    </row>
    <row r="3" spans="1:9" x14ac:dyDescent="0.3">
      <c r="A3" s="8">
        <v>0.44791666666666669</v>
      </c>
      <c r="B3" s="12"/>
      <c r="C3" s="12" t="s">
        <v>5</v>
      </c>
      <c r="D3" s="22">
        <v>0.44791666666666669</v>
      </c>
      <c r="E3" s="8">
        <f>D3-A3</f>
        <v>0</v>
      </c>
      <c r="F3" s="12"/>
      <c r="H3" s="26"/>
      <c r="I3" s="24" t="s">
        <v>13</v>
      </c>
    </row>
    <row r="4" spans="1:9" x14ac:dyDescent="0.3">
      <c r="A4" s="8">
        <v>0.44791666666666669</v>
      </c>
      <c r="B4" s="12"/>
      <c r="C4" s="12" t="s">
        <v>4</v>
      </c>
      <c r="D4" s="19"/>
      <c r="E4" s="12"/>
      <c r="F4" s="12"/>
      <c r="H4" s="6"/>
      <c r="I4" s="25" t="s">
        <v>14</v>
      </c>
    </row>
    <row r="5" spans="1:9" x14ac:dyDescent="0.3">
      <c r="A5" s="8">
        <v>0.44861111111111113</v>
      </c>
      <c r="B5" s="12"/>
      <c r="C5" s="12" t="s">
        <v>4</v>
      </c>
      <c r="D5" s="22">
        <v>0.44861111111111113</v>
      </c>
      <c r="E5" s="8">
        <f>D5-A5</f>
        <v>0</v>
      </c>
      <c r="F5" s="12"/>
    </row>
    <row r="6" spans="1:9" ht="15" thickBot="1" x14ac:dyDescent="0.35">
      <c r="A6" s="28"/>
      <c r="D6" s="28"/>
      <c r="E6" s="28"/>
    </row>
    <row r="7" spans="1:9" ht="15" thickBot="1" x14ac:dyDescent="0.35">
      <c r="A7" s="1" t="s">
        <v>9</v>
      </c>
      <c r="B7" s="2"/>
      <c r="C7" s="2"/>
      <c r="D7" s="2"/>
      <c r="E7" s="2"/>
      <c r="F7" s="3"/>
    </row>
    <row r="8" spans="1:9" x14ac:dyDescent="0.3">
      <c r="A8" s="15">
        <v>6.5162037037037032E-2</v>
      </c>
      <c r="B8" s="12"/>
      <c r="C8" s="12" t="s">
        <v>4</v>
      </c>
      <c r="D8" s="19"/>
      <c r="E8" s="12"/>
      <c r="F8" s="12"/>
    </row>
    <row r="9" spans="1:9" x14ac:dyDescent="0.3">
      <c r="A9" s="16">
        <v>6.637731481481482E-2</v>
      </c>
      <c r="B9" s="13" t="s">
        <v>5</v>
      </c>
      <c r="C9" s="13" t="s">
        <v>5</v>
      </c>
      <c r="D9" s="20">
        <v>6.6388888888888886E-2</v>
      </c>
      <c r="E9" s="9">
        <f>D9-A9</f>
        <v>1.1574074074066631E-5</v>
      </c>
      <c r="F9" s="9">
        <f t="shared" ref="F9:F34" si="0">A9-A8</f>
        <v>1.2152777777777873E-3</v>
      </c>
    </row>
    <row r="10" spans="1:9" x14ac:dyDescent="0.3">
      <c r="A10" s="17">
        <v>6.7476851851851857E-2</v>
      </c>
      <c r="B10" s="14" t="s">
        <v>4</v>
      </c>
      <c r="C10" s="14" t="s">
        <v>4</v>
      </c>
      <c r="D10" s="21">
        <v>6.7488425925925924E-2</v>
      </c>
      <c r="E10" s="10">
        <f t="shared" ref="E10:E64" si="1">D10-A10</f>
        <v>1.1574074074066631E-5</v>
      </c>
      <c r="F10" s="10">
        <f t="shared" si="0"/>
        <v>1.0995370370370378E-3</v>
      </c>
    </row>
    <row r="11" spans="1:9" x14ac:dyDescent="0.3">
      <c r="A11" s="15">
        <v>6.8148148148148152E-2</v>
      </c>
      <c r="B11" s="12" t="s">
        <v>5</v>
      </c>
      <c r="C11" s="12"/>
      <c r="D11" s="19"/>
      <c r="E11" s="11">
        <f t="shared" si="1"/>
        <v>-6.8148148148148152E-2</v>
      </c>
      <c r="F11" s="11">
        <f t="shared" si="0"/>
        <v>6.7129629629629484E-4</v>
      </c>
    </row>
    <row r="12" spans="1:9" x14ac:dyDescent="0.3">
      <c r="A12" s="15">
        <v>6.8865740740740741E-2</v>
      </c>
      <c r="B12" s="12" t="s">
        <v>5</v>
      </c>
      <c r="C12" s="12"/>
      <c r="D12" s="19"/>
      <c r="E12" s="11">
        <f t="shared" si="1"/>
        <v>-6.8865740740740741E-2</v>
      </c>
      <c r="F12" s="11">
        <f t="shared" si="0"/>
        <v>7.1759259259258912E-4</v>
      </c>
    </row>
    <row r="13" spans="1:9" x14ac:dyDescent="0.3">
      <c r="A13" s="16">
        <v>7.0000000000000007E-2</v>
      </c>
      <c r="B13" s="13" t="s">
        <v>5</v>
      </c>
      <c r="C13" s="13" t="s">
        <v>5</v>
      </c>
      <c r="D13" s="20">
        <v>7.0254629629629625E-2</v>
      </c>
      <c r="E13" s="9">
        <f t="shared" si="1"/>
        <v>2.5462962962961855E-4</v>
      </c>
      <c r="F13" s="9">
        <f t="shared" si="0"/>
        <v>1.1342592592592654E-3</v>
      </c>
    </row>
    <row r="14" spans="1:9" x14ac:dyDescent="0.3">
      <c r="A14" s="18">
        <v>7.0833333333333331E-2</v>
      </c>
      <c r="B14" s="14" t="s">
        <v>4</v>
      </c>
      <c r="C14" s="14" t="s">
        <v>4</v>
      </c>
      <c r="D14" s="21">
        <v>7.0879629629629626E-2</v>
      </c>
      <c r="E14" s="10">
        <f t="shared" si="1"/>
        <v>4.6296296296294281E-5</v>
      </c>
      <c r="F14" s="10">
        <f t="shared" si="0"/>
        <v>8.3333333333332482E-4</v>
      </c>
    </row>
    <row r="15" spans="1:9" x14ac:dyDescent="0.3">
      <c r="A15" s="15">
        <v>7.1990740740740744E-2</v>
      </c>
      <c r="B15" s="12" t="s">
        <v>5</v>
      </c>
      <c r="C15" s="12"/>
      <c r="D15" s="19"/>
      <c r="E15" s="11">
        <f t="shared" si="1"/>
        <v>-7.1990740740740744E-2</v>
      </c>
      <c r="F15" s="11">
        <f t="shared" si="0"/>
        <v>1.1574074074074125E-3</v>
      </c>
    </row>
    <row r="16" spans="1:9" x14ac:dyDescent="0.3">
      <c r="A16" s="16">
        <v>7.2916666666666671E-2</v>
      </c>
      <c r="B16" s="13" t="s">
        <v>5</v>
      </c>
      <c r="C16" s="13" t="s">
        <v>5</v>
      </c>
      <c r="D16" s="20">
        <v>7.3113425925925929E-2</v>
      </c>
      <c r="E16" s="9">
        <f t="shared" si="1"/>
        <v>1.9675925925925764E-4</v>
      </c>
      <c r="F16" s="9">
        <f t="shared" si="0"/>
        <v>9.2592592592592726E-4</v>
      </c>
    </row>
    <row r="17" spans="1:6" x14ac:dyDescent="0.3">
      <c r="A17" s="15">
        <v>7.3611111111111113E-2</v>
      </c>
      <c r="B17" s="12" t="s">
        <v>4</v>
      </c>
      <c r="C17" s="12"/>
      <c r="D17" s="19"/>
      <c r="E17" s="11">
        <f t="shared" si="1"/>
        <v>-7.3611111111111113E-2</v>
      </c>
      <c r="F17" s="11">
        <f t="shared" si="0"/>
        <v>6.9444444444444198E-4</v>
      </c>
    </row>
    <row r="18" spans="1:6" x14ac:dyDescent="0.3">
      <c r="A18" s="17">
        <v>7.4305555555555555E-2</v>
      </c>
      <c r="B18" s="14" t="s">
        <v>4</v>
      </c>
      <c r="C18" s="14" t="s">
        <v>4</v>
      </c>
      <c r="D18" s="21">
        <v>7.4340277777777783E-2</v>
      </c>
      <c r="E18" s="10">
        <f t="shared" si="1"/>
        <v>3.472222222222765E-5</v>
      </c>
      <c r="F18" s="10">
        <f t="shared" si="0"/>
        <v>6.9444444444444198E-4</v>
      </c>
    </row>
    <row r="19" spans="1:6" x14ac:dyDescent="0.3">
      <c r="A19" s="16">
        <v>7.4999999999999997E-2</v>
      </c>
      <c r="B19" s="13" t="s">
        <v>5</v>
      </c>
      <c r="C19" s="13" t="s">
        <v>5</v>
      </c>
      <c r="D19" s="20">
        <v>7.5023148148148144E-2</v>
      </c>
      <c r="E19" s="9">
        <f t="shared" si="1"/>
        <v>2.3148148148147141E-5</v>
      </c>
      <c r="F19" s="9">
        <f t="shared" si="0"/>
        <v>6.9444444444444198E-4</v>
      </c>
    </row>
    <row r="20" spans="1:6" x14ac:dyDescent="0.3">
      <c r="A20" s="17">
        <v>7.5462962962962968E-2</v>
      </c>
      <c r="B20" s="14" t="s">
        <v>4</v>
      </c>
      <c r="C20" s="14" t="s">
        <v>4</v>
      </c>
      <c r="D20" s="21">
        <v>7.5844907407407403E-2</v>
      </c>
      <c r="E20" s="10">
        <f t="shared" si="1"/>
        <v>3.8194444444443476E-4</v>
      </c>
      <c r="F20" s="10">
        <f t="shared" si="0"/>
        <v>4.6296296296297057E-4</v>
      </c>
    </row>
    <row r="21" spans="1:6" x14ac:dyDescent="0.3">
      <c r="A21" s="16">
        <v>7.615740740740741E-2</v>
      </c>
      <c r="B21" s="13" t="s">
        <v>5</v>
      </c>
      <c r="C21" s="13" t="s">
        <v>5</v>
      </c>
      <c r="D21" s="20">
        <v>7.6192129629629624E-2</v>
      </c>
      <c r="E21" s="9">
        <f t="shared" si="1"/>
        <v>3.4722222222213772E-5</v>
      </c>
      <c r="F21" s="9">
        <f t="shared" si="0"/>
        <v>6.9444444444444198E-4</v>
      </c>
    </row>
    <row r="22" spans="1:6" x14ac:dyDescent="0.3">
      <c r="A22" s="17">
        <v>7.6620370370370366E-2</v>
      </c>
      <c r="B22" s="14" t="s">
        <v>4</v>
      </c>
      <c r="C22" s="14" t="s">
        <v>4</v>
      </c>
      <c r="D22" s="21">
        <v>7.6655092592592594E-2</v>
      </c>
      <c r="E22" s="10">
        <f t="shared" si="1"/>
        <v>3.472222222222765E-5</v>
      </c>
      <c r="F22" s="10">
        <f t="shared" si="0"/>
        <v>4.6296296296295669E-4</v>
      </c>
    </row>
    <row r="23" spans="1:6" x14ac:dyDescent="0.3">
      <c r="A23" s="16">
        <v>7.6990740740740735E-2</v>
      </c>
      <c r="B23" s="13" t="s">
        <v>5</v>
      </c>
      <c r="C23" s="13" t="s">
        <v>5</v>
      </c>
      <c r="D23" s="20">
        <v>7.7071759259259257E-2</v>
      </c>
      <c r="E23" s="9">
        <f t="shared" si="1"/>
        <v>8.1018518518521931E-5</v>
      </c>
      <c r="F23" s="9">
        <f t="shared" si="0"/>
        <v>3.7037037037036813E-4</v>
      </c>
    </row>
    <row r="24" spans="1:6" x14ac:dyDescent="0.3">
      <c r="A24" s="15">
        <v>7.7893518518518515E-2</v>
      </c>
      <c r="B24" s="12" t="s">
        <v>4</v>
      </c>
      <c r="C24" s="12"/>
      <c r="D24" s="19"/>
      <c r="E24" s="11">
        <f t="shared" si="1"/>
        <v>-7.7893518518518515E-2</v>
      </c>
      <c r="F24" s="11">
        <f t="shared" si="0"/>
        <v>9.0277777777778012E-4</v>
      </c>
    </row>
    <row r="25" spans="1:6" x14ac:dyDescent="0.3">
      <c r="A25" s="17">
        <v>7.9861111111111105E-2</v>
      </c>
      <c r="B25" s="14" t="s">
        <v>4</v>
      </c>
      <c r="C25" s="14" t="s">
        <v>4</v>
      </c>
      <c r="D25" s="21">
        <v>7.9884259259259266E-2</v>
      </c>
      <c r="E25" s="10">
        <f t="shared" si="1"/>
        <v>2.3148148148161019E-5</v>
      </c>
      <c r="F25" s="10">
        <f t="shared" si="0"/>
        <v>1.9675925925925902E-3</v>
      </c>
    </row>
    <row r="26" spans="1:6" x14ac:dyDescent="0.3">
      <c r="A26" s="16">
        <v>8.0324074074074076E-2</v>
      </c>
      <c r="B26" s="13" t="s">
        <v>5</v>
      </c>
      <c r="C26" s="13" t="s">
        <v>5</v>
      </c>
      <c r="D26" s="20">
        <v>8.0578703703703708E-2</v>
      </c>
      <c r="E26" s="9">
        <f t="shared" si="1"/>
        <v>2.5462962962963243E-4</v>
      </c>
      <c r="F26" s="9">
        <f t="shared" si="0"/>
        <v>4.6296296296297057E-4</v>
      </c>
    </row>
    <row r="27" spans="1:6" x14ac:dyDescent="0.3">
      <c r="A27" s="17">
        <v>8.1018518518518517E-2</v>
      </c>
      <c r="B27" s="14" t="s">
        <v>4</v>
      </c>
      <c r="C27" s="14" t="s">
        <v>4</v>
      </c>
      <c r="D27" s="21">
        <v>8.127314814814815E-2</v>
      </c>
      <c r="E27" s="10">
        <f t="shared" si="1"/>
        <v>2.5462962962963243E-4</v>
      </c>
      <c r="F27" s="10">
        <f t="shared" si="0"/>
        <v>6.9444444444444198E-4</v>
      </c>
    </row>
    <row r="28" spans="1:6" x14ac:dyDescent="0.3">
      <c r="A28" s="15">
        <v>8.1828703703703709E-2</v>
      </c>
      <c r="B28" s="12" t="s">
        <v>5</v>
      </c>
      <c r="C28" s="12"/>
      <c r="D28" s="19"/>
      <c r="E28" s="11">
        <f t="shared" si="1"/>
        <v>-8.1828703703703709E-2</v>
      </c>
      <c r="F28" s="11">
        <f t="shared" si="0"/>
        <v>8.1018518518519156E-4</v>
      </c>
    </row>
    <row r="29" spans="1:6" x14ac:dyDescent="0.3">
      <c r="A29" s="16">
        <v>8.4027777777777785E-2</v>
      </c>
      <c r="B29" s="13" t="s">
        <v>5</v>
      </c>
      <c r="C29" s="13" t="s">
        <v>5</v>
      </c>
      <c r="D29" s="20">
        <v>8.4050925925925932E-2</v>
      </c>
      <c r="E29" s="9">
        <f t="shared" si="1"/>
        <v>2.3148148148147141E-5</v>
      </c>
      <c r="F29" s="9">
        <f t="shared" si="0"/>
        <v>2.1990740740740755E-3</v>
      </c>
    </row>
    <row r="30" spans="1:6" x14ac:dyDescent="0.3">
      <c r="A30" s="15">
        <v>8.4722222222222227E-2</v>
      </c>
      <c r="B30" s="12" t="s">
        <v>4</v>
      </c>
      <c r="C30" s="12"/>
      <c r="D30" s="19"/>
      <c r="E30" s="11">
        <f t="shared" si="1"/>
        <v>-8.4722222222222227E-2</v>
      </c>
      <c r="F30" s="11">
        <f t="shared" si="0"/>
        <v>6.9444444444444198E-4</v>
      </c>
    </row>
    <row r="31" spans="1:6" x14ac:dyDescent="0.3">
      <c r="A31" s="17">
        <v>8.5590277777777779E-2</v>
      </c>
      <c r="B31" s="14" t="s">
        <v>4</v>
      </c>
      <c r="C31" s="14" t="s">
        <v>4</v>
      </c>
      <c r="D31" s="21">
        <v>8.5833333333333331E-2</v>
      </c>
      <c r="E31" s="10">
        <f t="shared" si="1"/>
        <v>2.4305555555555192E-4</v>
      </c>
      <c r="F31" s="10">
        <f t="shared" si="0"/>
        <v>8.6805555555555247E-4</v>
      </c>
    </row>
    <row r="32" spans="1:6" x14ac:dyDescent="0.3">
      <c r="A32" s="16">
        <v>8.611111111111111E-2</v>
      </c>
      <c r="B32" s="13" t="s">
        <v>5</v>
      </c>
      <c r="C32" s="13" t="s">
        <v>5</v>
      </c>
      <c r="D32" s="20">
        <v>8.611111111111111E-2</v>
      </c>
      <c r="E32" s="9">
        <f t="shared" si="1"/>
        <v>0</v>
      </c>
      <c r="F32" s="9">
        <f t="shared" si="0"/>
        <v>5.2083333333333148E-4</v>
      </c>
    </row>
    <row r="33" spans="1:7" x14ac:dyDescent="0.3">
      <c r="A33" s="17">
        <v>8.6805555555555552E-2</v>
      </c>
      <c r="B33" s="14" t="s">
        <v>4</v>
      </c>
      <c r="C33" s="14" t="s">
        <v>4</v>
      </c>
      <c r="D33" s="21">
        <v>8.6817129629629633E-2</v>
      </c>
      <c r="E33" s="10">
        <f t="shared" si="1"/>
        <v>1.1574074074080509E-5</v>
      </c>
      <c r="F33" s="10">
        <f t="shared" si="0"/>
        <v>6.9444444444444198E-4</v>
      </c>
    </row>
    <row r="34" spans="1:7" ht="15" thickBot="1" x14ac:dyDescent="0.35">
      <c r="A34" s="16">
        <v>8.7152777777777773E-2</v>
      </c>
      <c r="B34" s="13" t="s">
        <v>5</v>
      </c>
      <c r="C34" s="13" t="s">
        <v>5</v>
      </c>
      <c r="D34" s="20">
        <v>8.7523148148148142E-2</v>
      </c>
      <c r="E34" s="9">
        <f t="shared" si="1"/>
        <v>3.7037037037036813E-4</v>
      </c>
      <c r="F34" s="9">
        <f t="shared" si="0"/>
        <v>3.4722222222222099E-4</v>
      </c>
    </row>
    <row r="35" spans="1:7" ht="15" thickBot="1" x14ac:dyDescent="0.35">
      <c r="A35" s="1" t="s">
        <v>7</v>
      </c>
      <c r="B35" s="2"/>
      <c r="C35" s="2"/>
      <c r="D35" s="2"/>
      <c r="E35" s="2"/>
      <c r="F35" s="3"/>
    </row>
    <row r="36" spans="1:7" x14ac:dyDescent="0.3">
      <c r="A36" s="10">
        <v>9.0277777777777776E-2</v>
      </c>
      <c r="B36" s="14" t="s">
        <v>4</v>
      </c>
      <c r="C36" s="14" t="s">
        <v>4</v>
      </c>
      <c r="D36" s="10">
        <v>9.0300925925925923E-2</v>
      </c>
      <c r="E36" s="10">
        <f t="shared" si="1"/>
        <v>2.3148148148147141E-5</v>
      </c>
      <c r="F36" s="10">
        <f>A36-A34</f>
        <v>3.1250000000000028E-3</v>
      </c>
    </row>
    <row r="37" spans="1:7" x14ac:dyDescent="0.3">
      <c r="A37" s="9">
        <v>9.375E-2</v>
      </c>
      <c r="B37" s="13" t="s">
        <v>5</v>
      </c>
      <c r="C37" s="13" t="s">
        <v>5</v>
      </c>
      <c r="D37" s="9">
        <v>9.3761574074074081E-2</v>
      </c>
      <c r="E37" s="9">
        <f t="shared" si="1"/>
        <v>1.1574074074080509E-5</v>
      </c>
      <c r="F37" s="9">
        <f>A37-A36</f>
        <v>3.4722222222222238E-3</v>
      </c>
    </row>
    <row r="38" spans="1:7" x14ac:dyDescent="0.3">
      <c r="A38" s="10">
        <v>9.7222222222222224E-2</v>
      </c>
      <c r="B38" s="14" t="s">
        <v>4</v>
      </c>
      <c r="C38" s="14"/>
      <c r="D38" s="10">
        <v>9.723379629629629E-2</v>
      </c>
      <c r="E38" s="10">
        <f t="shared" si="1"/>
        <v>1.1574074074066631E-5</v>
      </c>
      <c r="F38" s="10">
        <f>A38-A37</f>
        <v>3.4722222222222238E-3</v>
      </c>
    </row>
    <row r="39" spans="1:7" x14ac:dyDescent="0.3">
      <c r="A39" s="11">
        <v>0.10069444444444445</v>
      </c>
      <c r="B39" s="12" t="s">
        <v>5</v>
      </c>
      <c r="C39" s="12"/>
      <c r="D39" s="12"/>
      <c r="E39" s="11">
        <f t="shared" si="1"/>
        <v>-0.10069444444444445</v>
      </c>
      <c r="F39" s="11">
        <f t="shared" ref="F39:F64" si="2">A39-A38</f>
        <v>3.4722222222222238E-3</v>
      </c>
    </row>
    <row r="40" spans="1:7" x14ac:dyDescent="0.3">
      <c r="A40" s="9">
        <v>0.10277777777777777</v>
      </c>
      <c r="B40" s="13" t="s">
        <v>5</v>
      </c>
      <c r="C40" s="13" t="s">
        <v>5</v>
      </c>
      <c r="D40" s="9">
        <v>0.10280092592592592</v>
      </c>
      <c r="E40" s="9">
        <f t="shared" si="1"/>
        <v>2.3148148148147141E-5</v>
      </c>
      <c r="F40" s="9">
        <f t="shared" si="2"/>
        <v>2.0833333333333259E-3</v>
      </c>
    </row>
    <row r="41" spans="1:7" x14ac:dyDescent="0.3">
      <c r="A41" s="11">
        <v>0.10769675925925926</v>
      </c>
      <c r="B41" s="12" t="s">
        <v>4</v>
      </c>
      <c r="C41" s="12"/>
      <c r="D41" s="12"/>
      <c r="E41" s="11">
        <f t="shared" si="1"/>
        <v>-0.10769675925925926</v>
      </c>
      <c r="F41" s="11">
        <f t="shared" si="2"/>
        <v>4.9189814814814825E-3</v>
      </c>
    </row>
    <row r="42" spans="1:7" x14ac:dyDescent="0.3">
      <c r="A42" s="11">
        <v>0.11041666666666666</v>
      </c>
      <c r="B42" s="12" t="s">
        <v>4</v>
      </c>
      <c r="C42" s="12"/>
      <c r="D42" s="12"/>
      <c r="E42" s="11">
        <f t="shared" si="1"/>
        <v>-0.11041666666666666</v>
      </c>
      <c r="F42" s="11">
        <f t="shared" si="2"/>
        <v>2.719907407407407E-3</v>
      </c>
    </row>
    <row r="43" spans="1:7" x14ac:dyDescent="0.3">
      <c r="A43" s="11">
        <v>0.11180555555555556</v>
      </c>
      <c r="B43" s="12" t="s">
        <v>4</v>
      </c>
      <c r="C43" s="12"/>
      <c r="D43" s="12"/>
      <c r="E43" s="11">
        <f t="shared" si="1"/>
        <v>-0.11180555555555556</v>
      </c>
      <c r="F43" s="11">
        <f t="shared" si="2"/>
        <v>1.3888888888888978E-3</v>
      </c>
    </row>
    <row r="44" spans="1:7" x14ac:dyDescent="0.3">
      <c r="A44" s="11">
        <v>0.11319444444444444</v>
      </c>
      <c r="B44" s="12" t="s">
        <v>4</v>
      </c>
      <c r="C44" s="12"/>
      <c r="D44" s="12"/>
      <c r="E44" s="11">
        <f t="shared" si="1"/>
        <v>-0.11319444444444444</v>
      </c>
      <c r="F44" s="11">
        <f t="shared" si="2"/>
        <v>1.388888888888884E-3</v>
      </c>
      <c r="G44" t="s">
        <v>10</v>
      </c>
    </row>
    <row r="45" spans="1:7" x14ac:dyDescent="0.3">
      <c r="A45" s="10">
        <v>0.11446759259259259</v>
      </c>
      <c r="B45" s="14" t="s">
        <v>4</v>
      </c>
      <c r="C45" s="14" t="s">
        <v>4</v>
      </c>
      <c r="D45" s="10">
        <v>0.11447916666666667</v>
      </c>
      <c r="E45" s="10">
        <f t="shared" si="1"/>
        <v>1.1574074074080509E-5</v>
      </c>
      <c r="F45" s="10">
        <f t="shared" si="2"/>
        <v>1.2731481481481483E-3</v>
      </c>
    </row>
    <row r="46" spans="1:7" x14ac:dyDescent="0.3">
      <c r="A46" s="9">
        <v>0.1180787037037037</v>
      </c>
      <c r="B46" s="13" t="s">
        <v>5</v>
      </c>
      <c r="C46" s="13" t="s">
        <v>5</v>
      </c>
      <c r="D46" s="9">
        <v>0.11810185185185185</v>
      </c>
      <c r="E46" s="9">
        <f t="shared" si="1"/>
        <v>2.3148148148147141E-5</v>
      </c>
      <c r="F46" s="9">
        <f t="shared" si="2"/>
        <v>3.6111111111111066E-3</v>
      </c>
    </row>
    <row r="47" spans="1:7" x14ac:dyDescent="0.3">
      <c r="A47" s="10">
        <v>0.12152777777777778</v>
      </c>
      <c r="B47" s="14" t="s">
        <v>4</v>
      </c>
      <c r="C47" s="14" t="s">
        <v>4</v>
      </c>
      <c r="D47" s="10">
        <v>0.12153935185185186</v>
      </c>
      <c r="E47" s="10">
        <f t="shared" si="1"/>
        <v>1.1574074074080509E-5</v>
      </c>
      <c r="F47" s="10">
        <f t="shared" si="2"/>
        <v>3.4490740740740766E-3</v>
      </c>
    </row>
    <row r="48" spans="1:7" x14ac:dyDescent="0.3">
      <c r="A48" s="11">
        <v>0.125</v>
      </c>
      <c r="B48" s="12" t="s">
        <v>5</v>
      </c>
      <c r="C48" s="12"/>
      <c r="D48" s="12"/>
      <c r="E48" s="11">
        <f t="shared" si="1"/>
        <v>-0.125</v>
      </c>
      <c r="F48" s="11">
        <f t="shared" si="2"/>
        <v>3.4722222222222238E-3</v>
      </c>
      <c r="G48" t="s">
        <v>15</v>
      </c>
    </row>
    <row r="49" spans="1:7" x14ac:dyDescent="0.3">
      <c r="A49" s="12"/>
      <c r="B49" s="12"/>
      <c r="C49" s="12"/>
      <c r="D49" s="12"/>
      <c r="E49" s="11">
        <f t="shared" si="1"/>
        <v>0</v>
      </c>
      <c r="F49" s="11">
        <f t="shared" si="2"/>
        <v>-0.125</v>
      </c>
    </row>
    <row r="50" spans="1:7" x14ac:dyDescent="0.3">
      <c r="A50" s="12"/>
      <c r="B50" s="12"/>
      <c r="C50" s="12"/>
      <c r="D50" s="12"/>
      <c r="E50" s="11">
        <f t="shared" si="1"/>
        <v>0</v>
      </c>
      <c r="F50" s="11">
        <f t="shared" si="2"/>
        <v>0</v>
      </c>
    </row>
    <row r="51" spans="1:7" x14ac:dyDescent="0.3">
      <c r="A51" s="9">
        <v>0.12812499999999999</v>
      </c>
      <c r="B51" s="13" t="s">
        <v>5</v>
      </c>
      <c r="C51" s="13" t="s">
        <v>5</v>
      </c>
      <c r="D51" s="9">
        <v>0.12812499999999999</v>
      </c>
      <c r="E51" s="9">
        <f t="shared" si="1"/>
        <v>0</v>
      </c>
      <c r="F51" s="9">
        <f>A51-A48</f>
        <v>3.1249999999999889E-3</v>
      </c>
    </row>
    <row r="52" spans="1:7" x14ac:dyDescent="0.3">
      <c r="A52" s="10">
        <v>0.13194444444444445</v>
      </c>
      <c r="B52" s="14" t="s">
        <v>4</v>
      </c>
      <c r="C52" s="14" t="s">
        <v>4</v>
      </c>
      <c r="D52" s="10">
        <v>0.13195601851851851</v>
      </c>
      <c r="E52" s="10">
        <f t="shared" si="1"/>
        <v>1.1574074074066631E-5</v>
      </c>
      <c r="F52" s="10">
        <f>A52-A51</f>
        <v>3.8194444444444586E-3</v>
      </c>
    </row>
    <row r="53" spans="1:7" x14ac:dyDescent="0.3">
      <c r="A53" s="9">
        <v>0.13541666666666666</v>
      </c>
      <c r="B53" s="13" t="s">
        <v>5</v>
      </c>
      <c r="C53" s="13" t="s">
        <v>5</v>
      </c>
      <c r="D53" s="9">
        <v>0.13542824074074075</v>
      </c>
      <c r="E53" s="9">
        <f t="shared" si="1"/>
        <v>1.1574074074094387E-5</v>
      </c>
      <c r="F53" s="9">
        <f t="shared" si="2"/>
        <v>3.4722222222222099E-3</v>
      </c>
    </row>
    <row r="54" spans="1:7" x14ac:dyDescent="0.3">
      <c r="A54" s="10">
        <v>0.1388888888888889</v>
      </c>
      <c r="B54" s="14" t="s">
        <v>4</v>
      </c>
      <c r="C54" s="14" t="s">
        <v>4</v>
      </c>
      <c r="D54" s="10">
        <v>0.13890046296296296</v>
      </c>
      <c r="E54" s="10">
        <f t="shared" si="1"/>
        <v>1.1574074074066631E-5</v>
      </c>
      <c r="F54" s="10">
        <f t="shared" si="2"/>
        <v>3.4722222222222376E-3</v>
      </c>
    </row>
    <row r="55" spans="1:7" x14ac:dyDescent="0.3">
      <c r="A55" s="9">
        <v>0.14261574074074074</v>
      </c>
      <c r="B55" s="13" t="s">
        <v>5</v>
      </c>
      <c r="C55" s="13" t="s">
        <v>5</v>
      </c>
      <c r="D55" s="9">
        <v>0.1426273148148148</v>
      </c>
      <c r="E55" s="9">
        <f t="shared" si="1"/>
        <v>1.1574074074066631E-5</v>
      </c>
      <c r="F55" s="9">
        <f t="shared" si="2"/>
        <v>3.7268518518518423E-3</v>
      </c>
    </row>
    <row r="56" spans="1:7" x14ac:dyDescent="0.3">
      <c r="A56" s="10">
        <v>0.14583333333333334</v>
      </c>
      <c r="B56" s="14" t="s">
        <v>4</v>
      </c>
      <c r="C56" s="14" t="s">
        <v>4</v>
      </c>
      <c r="D56" s="10">
        <v>0.14584490740740741</v>
      </c>
      <c r="E56" s="10">
        <f t="shared" si="1"/>
        <v>1.1574074074066631E-5</v>
      </c>
      <c r="F56" s="10">
        <f t="shared" si="2"/>
        <v>3.2175925925926052E-3</v>
      </c>
    </row>
    <row r="57" spans="1:7" x14ac:dyDescent="0.3">
      <c r="A57" s="9">
        <v>0.14930555555555555</v>
      </c>
      <c r="B57" s="13" t="s">
        <v>5</v>
      </c>
      <c r="C57" s="13" t="s">
        <v>5</v>
      </c>
      <c r="D57" s="9">
        <v>0.14930555555555555</v>
      </c>
      <c r="E57" s="9">
        <f t="shared" si="1"/>
        <v>0</v>
      </c>
      <c r="F57" s="9">
        <f t="shared" si="2"/>
        <v>3.4722222222222099E-3</v>
      </c>
    </row>
    <row r="58" spans="1:7" x14ac:dyDescent="0.3">
      <c r="A58" s="10">
        <v>0.15312500000000001</v>
      </c>
      <c r="B58" s="14" t="s">
        <v>4</v>
      </c>
      <c r="C58" s="14" t="s">
        <v>4</v>
      </c>
      <c r="D58" s="10">
        <v>0.15312500000000001</v>
      </c>
      <c r="E58" s="10">
        <f t="shared" si="1"/>
        <v>0</v>
      </c>
      <c r="F58" s="10">
        <f t="shared" si="2"/>
        <v>3.8194444444444586E-3</v>
      </c>
      <c r="G58" t="s">
        <v>16</v>
      </c>
    </row>
    <row r="59" spans="1:7" x14ac:dyDescent="0.3">
      <c r="A59" s="9">
        <v>0.15625</v>
      </c>
      <c r="B59" s="13" t="s">
        <v>5</v>
      </c>
      <c r="C59" s="13" t="s">
        <v>5</v>
      </c>
      <c r="D59" s="9">
        <v>0.15625</v>
      </c>
      <c r="E59" s="9">
        <f t="shared" si="1"/>
        <v>0</v>
      </c>
      <c r="F59" s="9">
        <f t="shared" si="2"/>
        <v>3.1249999999999889E-3</v>
      </c>
    </row>
    <row r="60" spans="1:7" x14ac:dyDescent="0.3">
      <c r="A60" s="12"/>
      <c r="B60" s="12"/>
      <c r="C60" s="12"/>
      <c r="D60" s="12"/>
      <c r="E60" s="11">
        <f t="shared" si="1"/>
        <v>0</v>
      </c>
      <c r="F60" s="11">
        <f t="shared" si="2"/>
        <v>-0.15625</v>
      </c>
      <c r="G60" t="s">
        <v>17</v>
      </c>
    </row>
    <row r="61" spans="1:7" x14ac:dyDescent="0.3">
      <c r="A61" s="12"/>
      <c r="B61" s="12"/>
      <c r="C61" s="12"/>
      <c r="D61" s="12"/>
      <c r="E61" s="11">
        <f t="shared" si="1"/>
        <v>0</v>
      </c>
      <c r="F61" s="11">
        <f t="shared" si="2"/>
        <v>0</v>
      </c>
    </row>
    <row r="62" spans="1:7" x14ac:dyDescent="0.3">
      <c r="A62" s="12"/>
      <c r="B62" s="12"/>
      <c r="C62" s="12"/>
      <c r="D62" s="12"/>
      <c r="E62" s="11">
        <f t="shared" si="1"/>
        <v>0</v>
      </c>
      <c r="F62" s="11">
        <f t="shared" si="2"/>
        <v>0</v>
      </c>
    </row>
    <row r="63" spans="1:7" x14ac:dyDescent="0.3">
      <c r="A63" s="12"/>
      <c r="B63" s="12"/>
      <c r="C63" s="12"/>
      <c r="D63" s="12"/>
      <c r="E63" s="11">
        <f t="shared" si="1"/>
        <v>0</v>
      </c>
      <c r="F63" s="11">
        <f t="shared" si="2"/>
        <v>0</v>
      </c>
    </row>
    <row r="64" spans="1:7" x14ac:dyDescent="0.3">
      <c r="A64" s="12"/>
      <c r="B64" s="12"/>
      <c r="C64" s="12"/>
      <c r="D64" s="12"/>
      <c r="E64" s="11">
        <f t="shared" si="1"/>
        <v>0</v>
      </c>
      <c r="F64" s="11">
        <f t="shared" si="2"/>
        <v>0</v>
      </c>
    </row>
    <row r="65" spans="1:6" x14ac:dyDescent="0.3">
      <c r="A65" s="23"/>
      <c r="B65" s="23"/>
      <c r="C65" s="23"/>
      <c r="D65" s="23"/>
      <c r="E65" s="23"/>
      <c r="F65" s="23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fb82f89-5cd8-4587-9287-466c563ffd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8717118C485C4484046790F273FB1B" ma:contentTypeVersion="16" ma:contentTypeDescription="Create a new document." ma:contentTypeScope="" ma:versionID="021ac5001079a2d3e4b0e3a117f1cabb">
  <xsd:schema xmlns:xsd="http://www.w3.org/2001/XMLSchema" xmlns:xs="http://www.w3.org/2001/XMLSchema" xmlns:p="http://schemas.microsoft.com/office/2006/metadata/properties" xmlns:ns3="1fb82f89-5cd8-4587-9287-466c563ffd60" xmlns:ns4="075733d8-74b4-43e9-b326-c05f6e8830c8" targetNamespace="http://schemas.microsoft.com/office/2006/metadata/properties" ma:root="true" ma:fieldsID="535f1b0e20db1064b2095d1b3b261372" ns3:_="" ns4:_="">
    <xsd:import namespace="1fb82f89-5cd8-4587-9287-466c563ffd60"/>
    <xsd:import namespace="075733d8-74b4-43e9-b326-c05f6e8830c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b82f89-5cd8-4587-9287-466c563ff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5733d8-74b4-43e9-b326-c05f6e8830c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9929D7-D0EC-4EB4-B480-176C7F15209B}">
  <ds:schemaRefs>
    <ds:schemaRef ds:uri="http://www.w3.org/XML/1998/namespace"/>
    <ds:schemaRef ds:uri="http://purl.org/dc/dcmitype/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075733d8-74b4-43e9-b326-c05f6e8830c8"/>
    <ds:schemaRef ds:uri="1fb82f89-5cd8-4587-9287-466c563ffd60"/>
  </ds:schemaRefs>
</ds:datastoreItem>
</file>

<file path=customXml/itemProps2.xml><?xml version="1.0" encoding="utf-8"?>
<ds:datastoreItem xmlns:ds="http://schemas.openxmlformats.org/officeDocument/2006/customXml" ds:itemID="{B4C59C97-0979-47AC-9699-83CF0A882F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7F0E4B-889D-4A94-8979-C8A5C8E3D5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b82f89-5cd8-4587-9287-466c563ffd60"/>
    <ds:schemaRef ds:uri="075733d8-74b4-43e9-b326-c05f6e8830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Brianna Connors</dc:creator>
  <cp:lastModifiedBy>Brianna Connors</cp:lastModifiedBy>
  <dcterms:created xsi:type="dcterms:W3CDTF">2026-04-16T13:34:38Z</dcterms:created>
  <dcterms:modified xsi:type="dcterms:W3CDTF">2026-10-12T14:31:21Z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0x010100498717118C485C4484046790F273FB1B</vt:lpwstr>
  </property>
</Properties>
</file>