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_portfolio\Robotics_and_Controls\Senior_Project\docs\"/>
    </mc:Choice>
  </mc:AlternateContent>
  <xr:revisionPtr revIDLastSave="0" documentId="8_{106B5FBB-B000-4167-980F-9A66426E314D}" xr6:coauthVersionLast="47" xr6:coauthVersionMax="47" xr10:uidLastSave="{00000000-0000-0000-0000-000000000000}"/>
  <bookViews>
    <workbookView xWindow="11424" yWindow="0" windowWidth="11712" windowHeight="12336" xr2:uid="{816AA24F-0E75-4448-8451-504FE3409CA2}"/>
  </bookViews>
  <sheets>
    <sheet name="BOM" sheetId="1" r:id="rId1"/>
    <sheet name="Parameteriz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H10" i="1"/>
  <c r="H9" i="1"/>
  <c r="H8" i="1"/>
  <c r="H5" i="1"/>
</calcChain>
</file>

<file path=xl/sharedStrings.xml><?xml version="1.0" encoding="utf-8"?>
<sst xmlns="http://schemas.openxmlformats.org/spreadsheetml/2006/main" count="79" uniqueCount="64">
  <si>
    <t>Subsystem</t>
  </si>
  <si>
    <t>Component</t>
  </si>
  <si>
    <t>Quantity</t>
  </si>
  <si>
    <t>Company/Manufacturing</t>
  </si>
  <si>
    <t>Lift</t>
  </si>
  <si>
    <t>TiMotion TA23 or TA36</t>
  </si>
  <si>
    <t xml:space="preserve">TiMotion TC20 </t>
  </si>
  <si>
    <t>Notes</t>
  </si>
  <si>
    <t>tbd (200-300?)</t>
  </si>
  <si>
    <t>Patient-lift rated actuator</t>
  </si>
  <si>
    <t>includes battery, controller, and e-stop</t>
  </si>
  <si>
    <t>Guide</t>
  </si>
  <si>
    <t>Frame</t>
  </si>
  <si>
    <t>Structural tubing (square?)</t>
  </si>
  <si>
    <t>25-1000mm stroke</t>
  </si>
  <si>
    <t>https://www.timotion.com/en/products/control-boxes/tc20-series</t>
  </si>
  <si>
    <t xml:space="preserve">https://www.timotion.com/en/products/linear-actuators/ta23-series </t>
  </si>
  <si>
    <t>Actuator control box</t>
  </si>
  <si>
    <t>Seat</t>
  </si>
  <si>
    <t>Cushion</t>
  </si>
  <si>
    <t>Amazon</t>
  </si>
  <si>
    <t xml:space="preserve">https://www.amazon.com/dp/B089RD7BDJ/ref=twister_B08W9DS7XF?_encoding=UTF8&amp;psc=1 </t>
  </si>
  <si>
    <t>Rubber gel with grippiness (cheapish and replaceable)</t>
  </si>
  <si>
    <t>3/4" Plywood</t>
  </si>
  <si>
    <t>Home Depot</t>
  </si>
  <si>
    <t>Links</t>
  </si>
  <si>
    <t xml:space="preserve">https://www.homedepot.com/p/Columbia-Forest-Products-3-4-in-x-2-ft-x-2-ft-PureBond-Red-Oak-Plywood-Project-Panel-Free-Custom-Cut-Available-2854/204771251 </t>
  </si>
  <si>
    <t>2"x2"x3/4" Red Oak (hard, but heavy)</t>
  </si>
  <si>
    <t>seat width</t>
  </si>
  <si>
    <t>seat length</t>
  </si>
  <si>
    <t>seat height</t>
  </si>
  <si>
    <t>seat thickness</t>
  </si>
  <si>
    <t>cushion length</t>
  </si>
  <si>
    <t>cushion width</t>
  </si>
  <si>
    <t>cushion thickness</t>
  </si>
  <si>
    <t>need to be fully solved for then adjusted in the CAD</t>
  </si>
  <si>
    <t>based on parts, might adjust</t>
  </si>
  <si>
    <t>tubing length</t>
  </si>
  <si>
    <t>tubing width</t>
  </si>
  <si>
    <t>tubing thickness</t>
  </si>
  <si>
    <t>screw diameter</t>
  </si>
  <si>
    <t>number of screws on seat back</t>
  </si>
  <si>
    <t>in</t>
  </si>
  <si>
    <t>mm</t>
  </si>
  <si>
    <t>Linear guide rail</t>
  </si>
  <si>
    <t>Linear guide bearings</t>
  </si>
  <si>
    <t xml:space="preserve">https://www.hiwin.de/en/Products/Linear-guideways/Blocks/Ball-guides/Series-HG-QH/HGH-QHH/HGH20CAZAC/p/5-001633 </t>
  </si>
  <si>
    <t>maybe rated too high? Struggled to find cheaper options</t>
  </si>
  <si>
    <t>~70</t>
  </si>
  <si>
    <t>Price (each)</t>
  </si>
  <si>
    <t>Total Cost</t>
  </si>
  <si>
    <t>Mcmaster or amazon</t>
  </si>
  <si>
    <t>Wheels (4")</t>
  </si>
  <si>
    <t>15-30</t>
  </si>
  <si>
    <t>hiwin</t>
  </si>
  <si>
    <t xml:space="preserve">https://www.hiwin.de/en/Products/Linear-guideways/Profile-rails/Ball-guides/Series-HGR/HGR-R/HGR20R4000H/p/5-001922 </t>
  </si>
  <si>
    <t>expensive look for cheaper</t>
  </si>
  <si>
    <t>~100-200</t>
  </si>
  <si>
    <t xml:space="preserve">Mcmaster </t>
  </si>
  <si>
    <t>feet very rough estimate, 114.77 per 12'</t>
  </si>
  <si>
    <t>https://www.mcmaster.com/product/6527K566-6527K824</t>
  </si>
  <si>
    <t>amazon has standard wheelchair wheels, but these have rigid/rotating</t>
  </si>
  <si>
    <t>25 ft</t>
  </si>
  <si>
    <t xml:space="preserve">https://www.mcmaster.com/products/casters/wheel-diameter~4-1/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</si>
</sst>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cmaster.com/products/casters/wheel-diameter~4-1/" TargetMode="External"/><Relationship Id="rId3" Type="http://schemas.openxmlformats.org/officeDocument/2006/relationships/hyperlink" Target="https://www.amazon.com/dp/B089RD7BDJ/ref=twister_B08W9DS7XF?_encoding=UTF8&amp;psc=1" TargetMode="External"/><Relationship Id="rId7" Type="http://schemas.openxmlformats.org/officeDocument/2006/relationships/hyperlink" Target="https://www.mcmaster.com/product/6527K566-6527K824" TargetMode="External"/><Relationship Id="rId2" Type="http://schemas.openxmlformats.org/officeDocument/2006/relationships/hyperlink" Target="https://www.timotion.com/en/products/linear-actuators/ta23-series" TargetMode="External"/><Relationship Id="rId1" Type="http://schemas.openxmlformats.org/officeDocument/2006/relationships/hyperlink" Target="https://www.timotion.com/en/products/control-boxes/tc20-series" TargetMode="External"/><Relationship Id="rId6" Type="http://schemas.openxmlformats.org/officeDocument/2006/relationships/hyperlink" Target="https://www.hiwin.de/en/Products/Linear-guideways/Profile-rails/Ball-guides/Series-HGR/HGR-R/HGR20R4000H/p/5-001922" TargetMode="External"/><Relationship Id="rId5" Type="http://schemas.openxmlformats.org/officeDocument/2006/relationships/hyperlink" Target="https://www.hiwin.de/en/Products/Linear-guideways/Blocks/Ball-guides/Series-HG-QH/HGH-QHH/HGH20CAZAC/p/5-001633" TargetMode="External"/><Relationship Id="rId4" Type="http://schemas.openxmlformats.org/officeDocument/2006/relationships/hyperlink" Target="https://www.homedepot.com/p/Columbia-Forest-Products-3-4-in-x-2-ft-x-2-ft-PureBond-Red-Oak-Plywood-Project-Panel-Free-Custom-Cut-Available-2854/2047712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B9CB-B04D-4D27-BE6A-50A3FE3011E1}">
  <dimension ref="A1:H10"/>
  <sheetViews>
    <sheetView tabSelected="1" zoomScale="66" workbookViewId="0">
      <selection activeCell="F15" sqref="F15"/>
    </sheetView>
  </sheetViews>
  <sheetFormatPr defaultRowHeight="14.4" x14ac:dyDescent="0.3"/>
  <cols>
    <col min="1" max="1" width="12.33203125" customWidth="1"/>
    <col min="2" max="2" width="24.44140625" customWidth="1"/>
    <col min="3" max="3" width="10.44140625" customWidth="1"/>
    <col min="4" max="4" width="23.21875" customWidth="1"/>
    <col min="5" max="5" width="14" customWidth="1"/>
    <col min="6" max="6" width="44.6640625" customWidth="1"/>
    <col min="7" max="7" width="13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7</v>
      </c>
      <c r="G1" s="1" t="s">
        <v>49</v>
      </c>
      <c r="H1" s="1" t="s">
        <v>50</v>
      </c>
    </row>
    <row r="2" spans="1:8" x14ac:dyDescent="0.3">
      <c r="A2" t="s">
        <v>4</v>
      </c>
      <c r="B2" t="s">
        <v>9</v>
      </c>
      <c r="C2">
        <v>1</v>
      </c>
      <c r="D2" t="s">
        <v>5</v>
      </c>
      <c r="E2" s="2" t="s">
        <v>16</v>
      </c>
      <c r="F2" t="s">
        <v>14</v>
      </c>
      <c r="G2" t="s">
        <v>8</v>
      </c>
      <c r="H2">
        <v>300</v>
      </c>
    </row>
    <row r="3" spans="1:8" x14ac:dyDescent="0.3">
      <c r="A3" t="s">
        <v>4</v>
      </c>
      <c r="B3" t="s">
        <v>17</v>
      </c>
      <c r="C3">
        <v>1</v>
      </c>
      <c r="D3" t="s">
        <v>6</v>
      </c>
      <c r="E3" s="2" t="s">
        <v>15</v>
      </c>
      <c r="F3" t="s">
        <v>10</v>
      </c>
      <c r="G3" t="s">
        <v>8</v>
      </c>
      <c r="H3">
        <v>300</v>
      </c>
    </row>
    <row r="4" spans="1:8" x14ac:dyDescent="0.3">
      <c r="A4" t="s">
        <v>11</v>
      </c>
      <c r="B4" t="s">
        <v>44</v>
      </c>
      <c r="C4">
        <v>2</v>
      </c>
      <c r="D4" t="s">
        <v>54</v>
      </c>
      <c r="E4" s="2" t="s">
        <v>55</v>
      </c>
      <c r="F4" t="s">
        <v>56</v>
      </c>
      <c r="G4" t="s">
        <v>57</v>
      </c>
      <c r="H4">
        <v>400</v>
      </c>
    </row>
    <row r="5" spans="1:8" x14ac:dyDescent="0.3">
      <c r="A5" t="s">
        <v>11</v>
      </c>
      <c r="B5" t="s">
        <v>45</v>
      </c>
      <c r="C5">
        <v>4</v>
      </c>
      <c r="D5" t="s">
        <v>54</v>
      </c>
      <c r="E5" s="2" t="s">
        <v>46</v>
      </c>
      <c r="F5" t="s">
        <v>47</v>
      </c>
      <c r="G5" t="s">
        <v>48</v>
      </c>
      <c r="H5">
        <f>70*C5</f>
        <v>280</v>
      </c>
    </row>
    <row r="6" spans="1:8" x14ac:dyDescent="0.3">
      <c r="A6" t="s">
        <v>12</v>
      </c>
      <c r="B6" t="s">
        <v>13</v>
      </c>
      <c r="C6" t="s">
        <v>62</v>
      </c>
      <c r="D6" t="s">
        <v>58</v>
      </c>
      <c r="E6" s="2" t="s">
        <v>60</v>
      </c>
      <c r="F6" t="s">
        <v>59</v>
      </c>
      <c r="G6">
        <v>114.77</v>
      </c>
      <c r="H6">
        <f>G6*2</f>
        <v>229.54</v>
      </c>
    </row>
    <row r="7" spans="1:8" x14ac:dyDescent="0.3">
      <c r="A7" t="s">
        <v>12</v>
      </c>
      <c r="B7" t="s">
        <v>52</v>
      </c>
      <c r="C7">
        <v>4</v>
      </c>
      <c r="D7" t="s">
        <v>51</v>
      </c>
      <c r="E7" s="2" t="s">
        <v>63</v>
      </c>
      <c r="F7" t="s">
        <v>61</v>
      </c>
      <c r="G7" t="s">
        <v>53</v>
      </c>
      <c r="H7">
        <v>120</v>
      </c>
    </row>
    <row r="8" spans="1:8" x14ac:dyDescent="0.3">
      <c r="A8" t="s">
        <v>18</v>
      </c>
      <c r="B8" t="s">
        <v>19</v>
      </c>
      <c r="C8">
        <v>1</v>
      </c>
      <c r="D8" t="s">
        <v>20</v>
      </c>
      <c r="E8" s="2" t="s">
        <v>21</v>
      </c>
      <c r="F8" t="s">
        <v>22</v>
      </c>
      <c r="G8">
        <v>23.99</v>
      </c>
      <c r="H8">
        <f>G8</f>
        <v>23.99</v>
      </c>
    </row>
    <row r="9" spans="1:8" x14ac:dyDescent="0.3">
      <c r="A9" t="s">
        <v>18</v>
      </c>
      <c r="B9" t="s">
        <v>23</v>
      </c>
      <c r="C9">
        <v>1</v>
      </c>
      <c r="D9" t="s">
        <v>24</v>
      </c>
      <c r="E9" s="2" t="s">
        <v>26</v>
      </c>
      <c r="F9" t="s">
        <v>27</v>
      </c>
      <c r="G9">
        <v>17.989999999999998</v>
      </c>
      <c r="H9">
        <f>G9</f>
        <v>17.989999999999998</v>
      </c>
    </row>
    <row r="10" spans="1:8" x14ac:dyDescent="0.3">
      <c r="H10">
        <f>SUM(H2:H9)</f>
        <v>1671.52</v>
      </c>
    </row>
  </sheetData>
  <hyperlinks>
    <hyperlink ref="E3" r:id="rId1" xr:uid="{D4BD20EC-2293-41DB-B650-5B112C6024BB}"/>
    <hyperlink ref="E2" r:id="rId2" xr:uid="{8F3B4704-C12A-4649-924C-CFF0EEA9A27B}"/>
    <hyperlink ref="E8" r:id="rId3" xr:uid="{C2D10FDC-EE50-4102-ABDE-8313E0292C4F}"/>
    <hyperlink ref="E9" r:id="rId4" xr:uid="{EB588F91-F0CA-4FA6-9D69-E380F83CDFCF}"/>
    <hyperlink ref="E5" r:id="rId5" xr:uid="{C006E42F-8E4F-4C53-8738-62853848B9F5}"/>
    <hyperlink ref="E4" r:id="rId6" xr:uid="{31FEC3C2-2925-4F1D-9159-A1DF78A16E1D}"/>
    <hyperlink ref="E6" r:id="rId7" tooltip="https://www.mcmaster.com/product/6527K566-6527K824" xr:uid="{DA9E9A8A-58AA-4BC2-8500-567B5137B378}"/>
    <hyperlink ref="E7" r:id="rId8" xr:uid="{801400EB-8521-40BD-BBD7-744E930938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EE8E-AF55-4C07-965C-68873B300339}">
  <dimension ref="A1:G14"/>
  <sheetViews>
    <sheetView workbookViewId="0">
      <selection activeCell="D12" sqref="D12"/>
    </sheetView>
  </sheetViews>
  <sheetFormatPr defaultRowHeight="14.4" x14ac:dyDescent="0.3"/>
  <cols>
    <col min="1" max="1" width="25.88671875" customWidth="1"/>
  </cols>
  <sheetData>
    <row r="1" spans="1:7" x14ac:dyDescent="0.3">
      <c r="A1" s="3" t="s">
        <v>35</v>
      </c>
      <c r="B1" s="3"/>
      <c r="C1" s="3"/>
      <c r="D1" s="3"/>
      <c r="E1" s="3"/>
      <c r="F1" s="3"/>
      <c r="G1" s="3"/>
    </row>
    <row r="2" spans="1:7" x14ac:dyDescent="0.3">
      <c r="A2" s="4" t="s">
        <v>36</v>
      </c>
      <c r="B2" s="4"/>
    </row>
    <row r="3" spans="1:7" x14ac:dyDescent="0.3">
      <c r="A3" t="s">
        <v>28</v>
      </c>
      <c r="B3">
        <v>18</v>
      </c>
      <c r="C3" t="s">
        <v>42</v>
      </c>
    </row>
    <row r="4" spans="1:7" x14ac:dyDescent="0.3">
      <c r="A4" t="s">
        <v>29</v>
      </c>
      <c r="B4">
        <v>18</v>
      </c>
      <c r="C4" t="s">
        <v>42</v>
      </c>
    </row>
    <row r="5" spans="1:7" x14ac:dyDescent="0.3">
      <c r="A5" t="s">
        <v>30</v>
      </c>
      <c r="B5">
        <v>2</v>
      </c>
      <c r="C5" t="s">
        <v>42</v>
      </c>
    </row>
    <row r="6" spans="1:7" x14ac:dyDescent="0.3">
      <c r="A6" s="3" t="s">
        <v>31</v>
      </c>
      <c r="B6" s="3">
        <v>0.75</v>
      </c>
      <c r="C6" s="3" t="s">
        <v>42</v>
      </c>
    </row>
    <row r="7" spans="1:7" x14ac:dyDescent="0.3">
      <c r="A7" t="s">
        <v>32</v>
      </c>
      <c r="B7">
        <v>17</v>
      </c>
      <c r="C7" t="s">
        <v>42</v>
      </c>
    </row>
    <row r="8" spans="1:7" x14ac:dyDescent="0.3">
      <c r="A8" t="s">
        <v>33</v>
      </c>
      <c r="B8">
        <v>15.7</v>
      </c>
      <c r="C8" t="s">
        <v>42</v>
      </c>
    </row>
    <row r="9" spans="1:7" x14ac:dyDescent="0.3">
      <c r="A9" t="s">
        <v>34</v>
      </c>
      <c r="B9">
        <v>1.6</v>
      </c>
      <c r="C9" t="s">
        <v>42</v>
      </c>
    </row>
    <row r="10" spans="1:7" x14ac:dyDescent="0.3">
      <c r="A10" s="3" t="s">
        <v>37</v>
      </c>
      <c r="B10" s="3">
        <v>1.5</v>
      </c>
      <c r="C10" s="3" t="s">
        <v>42</v>
      </c>
    </row>
    <row r="11" spans="1:7" x14ac:dyDescent="0.3">
      <c r="A11" s="3" t="s">
        <v>38</v>
      </c>
      <c r="B11" s="3">
        <v>1.5</v>
      </c>
      <c r="C11" s="3" t="s">
        <v>42</v>
      </c>
    </row>
    <row r="12" spans="1:7" x14ac:dyDescent="0.3">
      <c r="A12" s="3" t="s">
        <v>39</v>
      </c>
      <c r="B12" s="3">
        <v>0.125</v>
      </c>
      <c r="C12" s="3" t="s">
        <v>42</v>
      </c>
    </row>
    <row r="13" spans="1:7" x14ac:dyDescent="0.3">
      <c r="A13" s="3" t="s">
        <v>40</v>
      </c>
      <c r="B13" s="3">
        <v>6</v>
      </c>
      <c r="C13" s="3" t="s">
        <v>43</v>
      </c>
    </row>
    <row r="14" spans="1:7" x14ac:dyDescent="0.3">
      <c r="A14" s="3" t="s">
        <v>41</v>
      </c>
      <c r="B14" s="3">
        <v>3</v>
      </c>
      <c r="C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Parameterizing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Brianna Connors</dc:creator>
  <cp:lastModifiedBy>Brianna Connors</cp:lastModifiedBy>
  <dcterms:created xsi:type="dcterms:W3CDTF">2026-10-19T09:29:30Z</dcterms:created>
  <dcterms:modified xsi:type="dcterms:W3CDTF">2026-10-19T15:43:59Z</dcterms:modified>
</cp:coreProperties>
</file>